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Me" sheetId="1" state="visible" r:id="rId1"/>
    <sheet xmlns:r="http://schemas.openxmlformats.org/officeDocument/2006/relationships" name="JFK Example" sheetId="2" state="visible" r:id="rId2"/>
    <sheet xmlns:r="http://schemas.openxmlformats.org/officeDocument/2006/relationships" name="Blank Template" sheetId="3" state="visible" r:id="rId3"/>
    <sheet xmlns:r="http://schemas.openxmlformats.org/officeDocument/2006/relationships" name="Hidden Hinge Worksheet"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0">
    <font>
      <name val="Calibri"/>
      <charset val="1"/>
      <family val="2"/>
      <color theme="1"/>
      <sz val="11"/>
    </font>
    <font>
      <name val="Arial"/>
      <family val="0"/>
      <sz val="10"/>
    </font>
    <font>
      <name val="Arial"/>
      <family val="0"/>
      <sz val="10"/>
    </font>
    <font>
      <name val="Arial"/>
      <family val="0"/>
      <sz val="10"/>
    </font>
    <font>
      <name val="Arial"/>
      <charset val="1"/>
      <family val="0"/>
      <b val="1"/>
      <color rgb="FF1B2A4A"/>
      <sz val="16"/>
    </font>
    <font>
      <name val="Arial"/>
      <charset val="1"/>
      <family val="0"/>
      <b val="1"/>
      <color rgb="FFA8121A"/>
      <sz val="12"/>
    </font>
    <font>
      <name val="Arial"/>
      <charset val="1"/>
      <family val="0"/>
      <sz val="11"/>
    </font>
    <font>
      <name val="Arial"/>
      <charset val="1"/>
      <family val="0"/>
      <b val="1"/>
      <sz val="11"/>
    </font>
    <font>
      <name val="Arial"/>
      <charset val="1"/>
      <family val="0"/>
      <color rgb="FF0000FF"/>
      <sz val="10"/>
    </font>
    <font>
      <name val="Arial"/>
      <charset val="1"/>
      <family val="0"/>
      <sz val="10"/>
    </font>
    <font>
      <name val="Arial"/>
      <charset val="1"/>
      <family val="0"/>
      <b val="1"/>
      <color rgb="FF1B2A4A"/>
      <sz val="14"/>
    </font>
    <font>
      <name val="Arial"/>
      <charset val="1"/>
      <family val="0"/>
      <i val="1"/>
      <color rgb="FF555555"/>
      <sz val="10"/>
    </font>
    <font>
      <name val="Arial"/>
      <charset val="1"/>
      <family val="0"/>
      <b val="1"/>
      <color rgb="FFFFFFFF"/>
      <sz val="10"/>
    </font>
    <font>
      <name val="Arial"/>
      <charset val="1"/>
      <family val="0"/>
      <color rgb="FF000000"/>
      <sz val="10"/>
    </font>
    <font>
      <name val="Arial"/>
      <charset val="1"/>
      <family val="0"/>
      <color rgb="FF000000"/>
      <sz val="9"/>
    </font>
    <font>
      <name val="Arial"/>
      <charset val="1"/>
      <family val="0"/>
      <b val="1"/>
      <sz val="10"/>
    </font>
    <font>
      <name val="Arial"/>
      <charset val="1"/>
      <family val="0"/>
      <b val="1"/>
      <color rgb="FF000000"/>
      <sz val="10"/>
    </font>
    <font>
      <name val="Arial"/>
      <charset val="1"/>
      <family val="0"/>
      <i val="1"/>
      <sz val="9"/>
    </font>
    <font>
      <name val="Arial"/>
      <charset val="1"/>
      <family val="0"/>
      <b val="1"/>
      <color rgb="FFA8121A"/>
      <sz val="11"/>
    </font>
    <font>
      <name val="Arial"/>
      <charset val="1"/>
      <family val="0"/>
      <i val="1"/>
      <color rgb="FF888888"/>
      <sz val="8"/>
    </font>
  </fonts>
  <fills count="5">
    <fill>
      <patternFill/>
    </fill>
    <fill>
      <patternFill patternType="gray125"/>
    </fill>
    <fill>
      <patternFill patternType="solid">
        <fgColor rgb="FFFFFF00"/>
        <bgColor rgb="FFFFFF00"/>
      </patternFill>
    </fill>
    <fill>
      <patternFill patternType="solid">
        <fgColor rgb="FF1B2A4A"/>
        <bgColor rgb="FF003366"/>
      </patternFill>
    </fill>
    <fill>
      <patternFill patternType="solid">
        <fgColor rgb="FFFFF0F0"/>
        <bgColor rgb="FFFFFFFF"/>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2" fillId="3" borderId="1" applyAlignment="1" pivotButton="0" quotePrefix="0" xfId="0">
      <alignment horizontal="center" vertical="center" wrapText="1"/>
    </xf>
    <xf numFmtId="0" fontId="13" fillId="0" borderId="1" applyAlignment="1" pivotButton="0" quotePrefix="0" xfId="0">
      <alignment horizontal="center" vertical="center"/>
    </xf>
    <xf numFmtId="0" fontId="13" fillId="0" borderId="1" applyAlignment="1" pivotButton="0" quotePrefix="0" xfId="0">
      <alignment horizontal="left" vertical="center" wrapText="1"/>
    </xf>
    <xf numFmtId="0" fontId="8" fillId="2" borderId="1" applyAlignment="1" pivotButton="0" quotePrefix="0" xfId="0">
      <alignment horizontal="center" vertical="center"/>
    </xf>
    <xf numFmtId="0" fontId="14" fillId="0" borderId="1" applyAlignment="1" pivotButton="0" quotePrefix="0" xfId="0">
      <alignment horizontal="left" vertical="center" wrapText="1"/>
    </xf>
    <xf numFmtId="0" fontId="15" fillId="0" borderId="0" applyAlignment="1" pivotButton="0" quotePrefix="0" xfId="0">
      <alignment horizontal="general" vertical="bottom"/>
    </xf>
    <xf numFmtId="0" fontId="16" fillId="0" borderId="1" applyAlignment="1" pivotButton="0" quotePrefix="0" xfId="0">
      <alignment horizontal="center" vertical="center"/>
    </xf>
    <xf numFmtId="0" fontId="17" fillId="0" borderId="0" applyAlignment="1" pivotButton="0" quotePrefix="0" xfId="0">
      <alignment horizontal="general" vertical="bottom"/>
    </xf>
    <xf numFmtId="0" fontId="18" fillId="0" borderId="0" applyAlignment="1" pivotButton="0" quotePrefix="0" xfId="0">
      <alignment horizontal="general" vertical="bottom"/>
    </xf>
    <xf numFmtId="164" fontId="18" fillId="4" borderId="1" applyAlignment="1" pivotButton="0" quotePrefix="0" xfId="0">
      <alignment horizontal="center" vertical="bottom"/>
    </xf>
    <xf numFmtId="0" fontId="19" fillId="0" borderId="0" applyAlignment="1" pivotButton="0" quotePrefix="0" xfId="0">
      <alignment horizontal="general" vertical="bottom"/>
    </xf>
    <xf numFmtId="0" fontId="19" fillId="0" borderId="0" applyAlignment="1" pivotButton="0" quotePrefix="0" xfId="0">
      <alignment horizontal="center" vertical="bottom" wrapText="1"/>
    </xf>
    <xf numFmtId="0" fontId="16" fillId="0" borderId="1"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2" fillId="3" borderId="1" applyAlignment="1" pivotButton="0" quotePrefix="0" xfId="0">
      <alignment horizontal="center" vertical="center" wrapText="1"/>
    </xf>
    <xf numFmtId="0" fontId="13" fillId="0" borderId="1" applyAlignment="1" pivotButton="0" quotePrefix="0" xfId="0">
      <alignment horizontal="center" vertical="center"/>
    </xf>
    <xf numFmtId="0" fontId="13" fillId="0" borderId="1" applyAlignment="1" pivotButton="0" quotePrefix="0" xfId="0">
      <alignment horizontal="left" vertical="center" wrapText="1"/>
    </xf>
    <xf numFmtId="0" fontId="8" fillId="2" borderId="1" applyAlignment="1" pivotButton="0" quotePrefix="0" xfId="0">
      <alignment horizontal="center" vertical="center"/>
    </xf>
    <xf numFmtId="0" fontId="14" fillId="0" borderId="1" applyAlignment="1" pivotButton="0" quotePrefix="0" xfId="0">
      <alignment horizontal="left" vertical="center" wrapText="1"/>
    </xf>
    <xf numFmtId="0" fontId="15" fillId="0" borderId="0" applyAlignment="1" pivotButton="0" quotePrefix="0" xfId="0">
      <alignment horizontal="general" vertical="bottom"/>
    </xf>
    <xf numFmtId="0" fontId="16" fillId="0" borderId="1" applyAlignment="1" pivotButton="0" quotePrefix="0" xfId="0">
      <alignment horizontal="center" vertical="center"/>
    </xf>
    <xf numFmtId="0" fontId="17" fillId="0" borderId="0" applyAlignment="1" pivotButton="0" quotePrefix="0" xfId="0">
      <alignment horizontal="general" vertical="bottom"/>
    </xf>
    <xf numFmtId="0" fontId="18" fillId="0" borderId="0" applyAlignment="1" pivotButton="0" quotePrefix="0" xfId="0">
      <alignment horizontal="general" vertical="bottom"/>
    </xf>
    <xf numFmtId="164" fontId="18" fillId="4" borderId="1" applyAlignment="1" pivotButton="0" quotePrefix="0" xfId="0">
      <alignment horizontal="center" vertical="bottom"/>
    </xf>
    <xf numFmtId="0" fontId="19" fillId="0" borderId="0" applyAlignment="1" pivotButton="0" quotePrefix="0" xfId="0">
      <alignment horizontal="general" vertical="bottom"/>
    </xf>
    <xf numFmtId="0" fontId="19" fillId="0" borderId="0" applyAlignment="1" pivotButton="0" quotePrefix="0" xfId="0">
      <alignment horizontal="center" vertical="bottom" wrapText="1"/>
    </xf>
    <xf numFmtId="0" fontId="16" fillId="0" borderId="1"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A8121A"/>
      <rgbColor rgb="FF008000"/>
      <rgbColor rgb="FF000080"/>
      <rgbColor rgb="FF808000"/>
      <rgbColor rgb="FF800080"/>
      <rgbColor rgb="FF008080"/>
      <rgbColor rgb="FFC0C0C0"/>
      <rgbColor rgb="FF888888"/>
      <rgbColor rgb="FF9999FF"/>
      <rgbColor rgb="FF993366"/>
      <rgbColor rgb="FFFFF0F0"/>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99999"/>
      <rgbColor rgb="FF003366"/>
      <rgbColor rgb="FF339966"/>
      <rgbColor rgb="FF003300"/>
      <rgbColor rgb="FF333300"/>
      <rgbColor rgb="FF993300"/>
      <rgbColor rgb="FF993366"/>
      <rgbColor rgb="FF333399"/>
      <rgbColor rgb="FF1B2A4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21"/>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0" customWidth="1" style="22" min="1" max="1"/>
  </cols>
  <sheetData>
    <row r="1" ht="19.7" customHeight="1" s="23">
      <c r="A1" s="24" t="inlineStr">
        <is>
          <t>WARRIOR KING PRODUCTIONS — WATERSHED PREDICTIVE MODEL</t>
        </is>
      </c>
    </row>
    <row r="2" ht="15" customHeight="1" s="23">
      <c r="A2" s="25" t="inlineStr">
        <is>
          <t>A weighted-branch forecasting calculator</t>
        </is>
      </c>
    </row>
    <row r="3"/>
    <row r="4" ht="30" customHeight="1" s="23">
      <c r="A4" s="26" t="inlineStr">
        <is>
          <t>WHAT THIS IS: a structured, numeric way to weigh alternate-history branches instead of just asking Claude "what do you think would happen." You (with Claude's research help) score each historical factor's importance, your confidence in the underlying evidence, and how strongly that factor supports each branch. The sheet computes a weighted, normalized probability-style score per branch — the math is visible and checkable, not hidden in a paragraph.</t>
        </is>
      </c>
    </row>
    <row r="5"/>
    <row r="6" ht="30" customHeight="1" s="23">
      <c r="A6" s="27" t="inlineStr">
        <is>
          <t>HOW TO USE IT</t>
        </is>
      </c>
    </row>
    <row r="7" ht="30" customHeight="1" s="23">
      <c r="A7" s="26" t="inlineStr">
        <is>
          <t>1. Go to the 'JFK Example' tab to see a fully worked illustration using the Format A structure (JFK survives Dallas).</t>
        </is>
      </c>
    </row>
    <row r="8" ht="30" customHeight="1" s="23">
      <c r="A8" s="26" t="inlineStr">
        <is>
          <t>2. Go to the 'Blank Template' tab to build your own — duplicate this tab for every new What If episode.</t>
        </is>
      </c>
    </row>
    <row r="9" ht="30" customHeight="1" s="23">
      <c r="A9" s="26" t="inlineStr">
        <is>
          <t>3. Yellow cells are where you type. Everything else is a formula and will recalculate automatically.</t>
        </is>
      </c>
    </row>
    <row r="10" ht="30" customHeight="1" s="23">
      <c r="A10" s="26" t="inlineStr">
        <is>
          <t>4. List every causal factor you and Claude research for the divergence point — one row each.</t>
        </is>
      </c>
    </row>
    <row r="11" ht="30" customHeight="1" s="23">
      <c r="A11" s="26" t="inlineStr">
        <is>
          <t>5. Score Importance (1-5: how much does this factor matter) and Confidence (1-5: how solid is the sourcing).</t>
        </is>
      </c>
    </row>
    <row r="12" ht="30" customHeight="1" s="23">
      <c r="A12" s="26" t="inlineStr">
        <is>
          <t>6. Score how strongly each factor supports each branch (1-5 per branch). Use 0/blank if irrelevant to that branch.</t>
        </is>
      </c>
    </row>
    <row r="13" ht="30" customHeight="1" s="23">
      <c r="A13" s="26" t="inlineStr">
        <is>
          <t>7. The Weighted Score and Model Probability % rows at the bottom compute automatically — that's your model's output.</t>
        </is>
      </c>
    </row>
    <row r="14" ht="30" customHeight="1" s="23">
      <c r="A14" s="26" t="inlineStr">
        <is>
          <t>8. SENSITIVITY CHECK: temporarily set one factor's Importance to 0 and watch how much the percentages shift. A factor that swings the outcome a lot is 'load-bearing' — flag it in the episode as the single biggest uncertainty.</t>
        </is>
      </c>
    </row>
    <row r="15"/>
    <row r="16" ht="30" customHeight="1" s="23">
      <c r="A16" s="27" t="inlineStr">
        <is>
          <t>WHAT THIS IS NOT</t>
        </is>
      </c>
    </row>
    <row r="17" ht="30" customHeight="1" s="23">
      <c r="A17" s="26" t="inlineStr">
        <is>
          <t>This is not a machine-learning model trained on data — it's a transparent, structured elicitation framework, the same basic approach professional geopolitical forecasters use to turn expert judgment into checkable, falsifiable numbers instead of unstructured gut calls. The rigor comes from forcing every input to be sourced and every weight to be visible, not from the arithmetic itself.</t>
        </is>
      </c>
    </row>
    <row r="18"/>
    <row r="19" ht="30" customHeight="1" s="23">
      <c r="A19" s="27" t="inlineStr">
        <is>
          <t>COLOR KEY</t>
        </is>
      </c>
    </row>
    <row r="20" ht="15" customHeight="1" s="23">
      <c r="A20" s="28" t="inlineStr">
        <is>
          <t>Yellow fill, blue text = your input cells</t>
        </is>
      </c>
    </row>
    <row r="21" ht="15" customHeight="1" s="23">
      <c r="A21" s="29" t="inlineStr">
        <is>
          <t>Black text = formulas, do not overwrite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I21"/>
  <sheetViews>
    <sheetView showFormulas="0" showGridLines="0" showRowColHeaders="1" showZeros="1" rightToLeft="0" tabSelected="0" showOutlineSymbols="1" defaultGridColor="1"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baseColWidth="8" defaultColWidth="8.6796875" defaultRowHeight="15" zeroHeight="0" outlineLevelRow="0"/>
  <cols>
    <col width="3" customWidth="1" style="22" min="1" max="1"/>
    <col width="38" customWidth="1" style="22" min="2" max="2"/>
    <col width="16" customWidth="1" style="22" min="3" max="3"/>
    <col width="12" customWidth="1" style="22" min="4" max="5"/>
    <col width="16" customWidth="1" style="22" min="6" max="8"/>
    <col width="45" customWidth="1" style="22" min="9" max="9"/>
  </cols>
  <sheetData>
    <row r="1" ht="17.35" customHeight="1" s="23">
      <c r="A1" s="30" t="inlineStr">
        <is>
          <t>WATERSHED MODEL — WORKED EXAMPLE: "What if JFK survived Dallas?"</t>
        </is>
      </c>
    </row>
    <row r="2" ht="15" customHeight="1" s="23">
      <c r="A2" s="31" t="inlineStr">
        <is>
          <t>Format A (What If) illustration. Scores below are ILLUSTRATIVE STARTING VALUES — replace with your own research-backed scores before publishing. Every factor needs a real source in the Notes column.</t>
        </is>
      </c>
    </row>
    <row r="3"/>
    <row r="4" ht="39.75" customHeight="1" s="23">
      <c r="A4" s="32" t="inlineStr">
        <is>
          <t>#</t>
        </is>
      </c>
      <c r="B4" s="32" t="inlineStr">
        <is>
          <t>Causal Factor</t>
        </is>
      </c>
      <c r="C4" s="32" t="inlineStr">
        <is>
          <t>Category</t>
        </is>
      </c>
      <c r="D4" s="32" t="inlineStr">
        <is>
          <t>Importance
(1-5)</t>
        </is>
      </c>
      <c r="E4" s="32" t="inlineStr">
        <is>
          <t>Confidence
(1-5)</t>
        </is>
      </c>
      <c r="F4" s="32" t="inlineStr">
        <is>
          <t>Branch 1: Withdrawal
Proceeds (NSAM 263 path)
Support (1-5)</t>
        </is>
      </c>
      <c r="G4" s="32" t="inlineStr">
        <is>
          <t>Branch 2: Escalation
(mirrors historical outcome)
Support (1-5)</t>
        </is>
      </c>
      <c r="H4" s="32" t="inlineStr">
        <is>
          <t>Branch 3: Prolonged
Middle Course
Support (1-5)</t>
        </is>
      </c>
      <c r="I4" s="32" t="inlineStr">
        <is>
          <t>Source / Notes</t>
        </is>
      </c>
    </row>
    <row r="5" ht="27.75" customHeight="1" s="23">
      <c r="A5" s="33" t="n">
        <v>1</v>
      </c>
      <c r="B5" s="34" t="inlineStr">
        <is>
          <t>NSAM 263 (Oct 1963) — documented order to begin Vietnam troop withdrawal</t>
        </is>
      </c>
      <c r="C5" s="34" t="inlineStr">
        <is>
          <t>Political/Military</t>
        </is>
      </c>
      <c r="D5" s="35" t="n">
        <v>5</v>
      </c>
      <c r="E5" s="35" t="n">
        <v>5</v>
      </c>
      <c r="F5" s="35" t="n">
        <v>5</v>
      </c>
      <c r="G5" s="35" t="n">
        <v>1</v>
      </c>
      <c r="H5" s="35" t="n">
        <v>2</v>
      </c>
      <c r="I5" s="36" t="inlineStr">
        <is>
          <t>Primary source: National Security Action Memorandum 263, declassified. Documents JFK's actual policy trajectory before Dallas.</t>
        </is>
      </c>
    </row>
    <row r="6" ht="27.75" customHeight="1" s="23">
      <c r="A6" s="33" t="n">
        <v>2</v>
      </c>
      <c r="B6" s="34" t="inlineStr">
        <is>
          <t>JFK's recorded private skepticism of ground war escalation (Oval Office tapes)</t>
        </is>
      </c>
      <c r="C6" s="34" t="inlineStr">
        <is>
          <t>Personal</t>
        </is>
      </c>
      <c r="D6" s="35" t="n">
        <v>4</v>
      </c>
      <c r="E6" s="35" t="n">
        <v>4</v>
      </c>
      <c r="F6" s="35" t="n">
        <v>4</v>
      </c>
      <c r="G6" s="35" t="n">
        <v>1</v>
      </c>
      <c r="H6" s="35" t="n">
        <v>3</v>
      </c>
      <c r="I6" s="36" t="inlineStr">
        <is>
          <t>White House taping system recordings, 1963. Contrast with Johnson's documented private views.</t>
        </is>
      </c>
    </row>
    <row r="7" ht="27.75" customHeight="1" s="23">
      <c r="A7" s="33" t="n">
        <v>3</v>
      </c>
      <c r="B7" s="34" t="inlineStr">
        <is>
          <t>Joint Chiefs / Pentagon institutional pressure for increased troop commitment</t>
        </is>
      </c>
      <c r="C7" s="34" t="inlineStr">
        <is>
          <t>Military</t>
        </is>
      </c>
      <c r="D7" s="35" t="n">
        <v>4</v>
      </c>
      <c r="E7" s="35" t="n">
        <v>4</v>
      </c>
      <c r="F7" s="35" t="n">
        <v>1</v>
      </c>
      <c r="G7" s="35" t="n">
        <v>5</v>
      </c>
      <c r="H7" s="35" t="n">
        <v>3</v>
      </c>
      <c r="I7" s="36" t="inlineStr">
        <is>
          <t>Institutional pressure existed regardless of president; test how much it could override a sitting JFK vs. how it did override Johnson.</t>
        </is>
      </c>
    </row>
    <row r="8" ht="27.75" customHeight="1" s="23">
      <c r="A8" s="33" t="n">
        <v>4</v>
      </c>
      <c r="B8" s="34" t="inlineStr">
        <is>
          <t>1964 election-year domestic pressure to appear tough on communism</t>
        </is>
      </c>
      <c r="C8" s="34" t="inlineStr">
        <is>
          <t>Political</t>
        </is>
      </c>
      <c r="D8" s="35" t="n">
        <v>3</v>
      </c>
      <c r="E8" s="35" t="n">
        <v>3</v>
      </c>
      <c r="F8" s="35" t="n">
        <v>2</v>
      </c>
      <c r="G8" s="35" t="n">
        <v>4</v>
      </c>
      <c r="H8" s="35" t="n">
        <v>3</v>
      </c>
      <c r="I8" s="36" t="inlineStr">
        <is>
          <t>Cold War domestic politics; JFK's own 1960 campaign used similar rhetoric against Nixon.</t>
        </is>
      </c>
    </row>
    <row r="9" ht="27.75" customHeight="1" s="23">
      <c r="A9" s="33" t="n">
        <v>5</v>
      </c>
      <c r="B9" s="34" t="inlineStr">
        <is>
          <t>Diem coup aftermath (Nov 1963) — South Vietnamese political instability</t>
        </is>
      </c>
      <c r="C9" s="34" t="inlineStr">
        <is>
          <t>Political</t>
        </is>
      </c>
      <c r="D9" s="35" t="n">
        <v>4</v>
      </c>
      <c r="E9" s="35" t="n">
        <v>4</v>
      </c>
      <c r="F9" s="35" t="n">
        <v>3</v>
      </c>
      <c r="G9" s="35" t="n">
        <v>4</v>
      </c>
      <c r="H9" s="35" t="n">
        <v>3</v>
      </c>
      <c r="I9" s="36" t="inlineStr">
        <is>
          <t>Coup the JFK administration knew of days before Dallas; instability complicates any withdrawal timeline regardless of president.</t>
        </is>
      </c>
    </row>
    <row r="10" ht="27.75" customHeight="1" s="23">
      <c r="A10" s="33" t="n">
        <v>6</v>
      </c>
      <c r="B10" s="34" t="inlineStr">
        <is>
          <t>Post-Cuban Missile Crisis detente trend with Soviet leadership</t>
        </is>
      </c>
      <c r="C10" s="34" t="inlineStr">
        <is>
          <t>Military/Political</t>
        </is>
      </c>
      <c r="D10" s="35" t="n">
        <v>3</v>
      </c>
      <c r="E10" s="35" t="n">
        <v>3</v>
      </c>
      <c r="F10" s="35" t="n">
        <v>4</v>
      </c>
      <c r="G10" s="35" t="n">
        <v>2</v>
      </c>
      <c r="H10" s="35" t="n">
        <v>3</v>
      </c>
      <c r="I10" s="36" t="inlineStr">
        <is>
          <t>American University speech (June 1963), Limited Test Ban Treaty — documented shift toward de-escalation rhetoric.</t>
        </is>
      </c>
    </row>
    <row r="11" ht="27.75" customHeight="1" s="23">
      <c r="A11" s="33" t="n">
        <v>7</v>
      </c>
      <c r="B11" s="34" t="inlineStr">
        <is>
          <t>Reference class: US Cold War proxy-conflict pattern (Korea, later interventions)</t>
        </is>
      </c>
      <c r="C11" s="34" t="inlineStr">
        <is>
          <t>Historical Base Rate</t>
        </is>
      </c>
      <c r="D11" s="35" t="n">
        <v>3</v>
      </c>
      <c r="E11" s="35" t="n">
        <v>3</v>
      </c>
      <c r="F11" s="35" t="n">
        <v>2</v>
      </c>
      <c r="G11" s="35" t="n">
        <v>4</v>
      </c>
      <c r="H11" s="35" t="n">
        <v>3</v>
      </c>
      <c r="I11" s="36" t="inlineStr">
        <is>
          <t>Base-rate check: how often the US disengaged vs. escalated in comparable Cold War proxy conflicts once committed.</t>
        </is>
      </c>
    </row>
    <row r="12" ht="21.75" customHeight="1" s="23">
      <c r="A12" s="33" t="n">
        <v>8</v>
      </c>
      <c r="B12" s="34" t="n"/>
      <c r="C12" s="34" t="n"/>
      <c r="D12" s="35" t="n"/>
      <c r="E12" s="35" t="n"/>
      <c r="F12" s="35" t="n"/>
      <c r="G12" s="35" t="n"/>
      <c r="H12" s="35" t="n"/>
      <c r="I12" s="34" t="n"/>
    </row>
    <row r="13" ht="21.75" customHeight="1" s="23">
      <c r="A13" s="33" t="n">
        <v>9</v>
      </c>
      <c r="B13" s="34" t="n"/>
      <c r="C13" s="34" t="n"/>
      <c r="D13" s="35" t="n"/>
      <c r="E13" s="35" t="n"/>
      <c r="F13" s="35" t="n"/>
      <c r="G13" s="35" t="n"/>
      <c r="H13" s="35" t="n"/>
      <c r="I13" s="34" t="n"/>
    </row>
    <row r="14" ht="21.75" customHeight="1" s="23">
      <c r="A14" s="33" t="n">
        <v>10</v>
      </c>
      <c r="B14" s="34" t="n"/>
      <c r="C14" s="34" t="n"/>
      <c r="D14" s="35" t="n"/>
      <c r="E14" s="35" t="n"/>
      <c r="F14" s="35" t="n"/>
      <c r="G14" s="35" t="n"/>
      <c r="H14" s="35" t="n"/>
      <c r="I14" s="34" t="n"/>
    </row>
    <row r="15" ht="21.75" customHeight="1" s="23">
      <c r="A15" s="33" t="n">
        <v>11</v>
      </c>
      <c r="B15" s="34" t="n"/>
      <c r="C15" s="34" t="n"/>
      <c r="D15" s="35" t="n"/>
      <c r="E15" s="35" t="n"/>
      <c r="F15" s="35" t="n"/>
      <c r="G15" s="35" t="n"/>
      <c r="H15" s="35" t="n"/>
      <c r="I15" s="34" t="n"/>
    </row>
    <row r="16" ht="21.75" customHeight="1" s="23">
      <c r="A16" s="33" t="n">
        <v>12</v>
      </c>
      <c r="B16" s="34" t="n"/>
      <c r="C16" s="34" t="n"/>
      <c r="D16" s="35" t="n"/>
      <c r="E16" s="35" t="n"/>
      <c r="F16" s="35" t="n"/>
      <c r="G16" s="35" t="n"/>
      <c r="H16" s="35" t="n"/>
      <c r="I16" s="34" t="n"/>
    </row>
    <row r="17"/>
    <row r="18" ht="15" customHeight="1" s="23">
      <c r="B18" s="37" t="inlineStr">
        <is>
          <t>WEIGHTED SCORE</t>
        </is>
      </c>
      <c r="F18" s="38">
        <f>SUMPRODUCT($D5:$D16,$E5:$E16,F5:F16)</f>
        <v/>
      </c>
      <c r="G18" s="38">
        <f>SUMPRODUCT($D5:$D16,$E5:$E16,G5:G16)</f>
        <v/>
      </c>
      <c r="H18" s="38">
        <f>SUMPRODUCT($D5:$D16,$E5:$E16,H5:H16)</f>
        <v/>
      </c>
    </row>
    <row r="19" ht="15" customHeight="1" s="23">
      <c r="B19" s="39" t="inlineStr">
        <is>
          <t>TOTAL (all branches)</t>
        </is>
      </c>
      <c r="F19" s="33">
        <f>SUM(F18:H18)</f>
        <v/>
      </c>
    </row>
    <row r="20" ht="15" customHeight="1" s="23">
      <c r="B20" s="40" t="inlineStr">
        <is>
          <t>MODEL PROBABILITY %</t>
        </is>
      </c>
      <c r="F20" s="41">
        <f>IFERROR(F18/$F$19,0)</f>
        <v/>
      </c>
      <c r="G20" s="41">
        <f>IFERROR(G18/$F$19,0)</f>
        <v/>
      </c>
      <c r="H20" s="41">
        <f>IFERROR(H18/$F$19,0)</f>
        <v/>
      </c>
    </row>
    <row r="21" ht="28.35" customHeight="1" s="23">
      <c r="B21" s="42" t="inlineStr">
        <is>
          <t>(branch reference)</t>
        </is>
      </c>
      <c r="F21" s="43" t="inlineStr">
        <is>
          <t>Branch 1: Withdrawal
Proceeds (NSAM 263 path)</t>
        </is>
      </c>
      <c r="G21" s="43" t="inlineStr">
        <is>
          <t>Branch 2: Escalation
(mirrors historical outcome)</t>
        </is>
      </c>
      <c r="H21" s="43" t="inlineStr">
        <is>
          <t>Branch 3: Prolonged
Middle Course</t>
        </is>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16"/>
  <sheetViews>
    <sheetView showFormulas="0" showGridLines="0" showRowColHeaders="1" showZeros="1" rightToLeft="0" tabSelected="0" showOutlineSymbols="1" defaultGridColor="1"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baseColWidth="8" defaultColWidth="8.6796875" defaultRowHeight="15" zeroHeight="0" outlineLevelRow="0"/>
  <cols>
    <col width="3" customWidth="1" style="22" min="1" max="1"/>
    <col width="38" customWidth="1" style="22" min="2" max="2"/>
    <col width="16" customWidth="1" style="22" min="3" max="3"/>
    <col width="12" customWidth="1" style="22" min="4" max="5"/>
    <col width="16" customWidth="1" style="22" min="6" max="8"/>
    <col width="45" customWidth="1" style="22" min="9" max="9"/>
  </cols>
  <sheetData>
    <row r="1" ht="17.35" customHeight="1" s="23">
      <c r="A1" s="30" t="inlineStr">
        <is>
          <t>WATERSHED MODEL — BLANK TEMPLATE</t>
        </is>
      </c>
    </row>
    <row r="2" ht="15" customHeight="1" s="23">
      <c r="A2" s="31" t="inlineStr">
        <is>
          <t>Duplicate this tab for every new What If episode. Fill yellow cells only. Copy a factor row's formatting to add more rows.</t>
        </is>
      </c>
    </row>
    <row r="3"/>
    <row r="4" ht="39.75" customHeight="1" s="23">
      <c r="A4" s="32" t="inlineStr">
        <is>
          <t>#</t>
        </is>
      </c>
      <c r="B4" s="32" t="inlineStr">
        <is>
          <t>Causal Factor</t>
        </is>
      </c>
      <c r="C4" s="32" t="inlineStr">
        <is>
          <t>Category</t>
        </is>
      </c>
      <c r="D4" s="32" t="inlineStr">
        <is>
          <t>Importance
(1-5)</t>
        </is>
      </c>
      <c r="E4" s="32" t="inlineStr">
        <is>
          <t>Confidence
(1-5)</t>
        </is>
      </c>
      <c r="F4" s="32" t="inlineStr">
        <is>
          <t>Branch 1
Support (1-5)</t>
        </is>
      </c>
      <c r="G4" s="32" t="inlineStr">
        <is>
          <t>Branch 2
Support (1-5)</t>
        </is>
      </c>
      <c r="H4" s="32" t="inlineStr">
        <is>
          <t>Branch 3
Support (1-5)</t>
        </is>
      </c>
      <c r="I4" s="32" t="inlineStr">
        <is>
          <t>Source / Notes</t>
        </is>
      </c>
    </row>
    <row r="5" ht="27.75" customHeight="1" s="23">
      <c r="A5" s="33" t="n">
        <v>1</v>
      </c>
      <c r="B5" s="34" t="n"/>
      <c r="C5" s="34" t="n"/>
      <c r="D5" s="35" t="n"/>
      <c r="E5" s="35" t="n"/>
      <c r="F5" s="35" t="n"/>
      <c r="G5" s="35" t="n"/>
      <c r="H5" s="35" t="n"/>
      <c r="I5" s="36" t="n"/>
    </row>
    <row r="6" ht="27.75" customHeight="1" s="23">
      <c r="A6" s="33" t="n">
        <v>2</v>
      </c>
      <c r="B6" s="34" t="n"/>
      <c r="C6" s="34" t="n"/>
      <c r="D6" s="35" t="n"/>
      <c r="E6" s="35" t="n"/>
      <c r="F6" s="35" t="n"/>
      <c r="G6" s="35" t="n"/>
      <c r="H6" s="35" t="n"/>
      <c r="I6" s="36" t="n"/>
    </row>
    <row r="7" ht="21.75" customHeight="1" s="23">
      <c r="A7" s="33" t="n">
        <v>3</v>
      </c>
      <c r="B7" s="34" t="n"/>
      <c r="C7" s="34" t="n"/>
      <c r="D7" s="35" t="n"/>
      <c r="E7" s="35" t="n"/>
      <c r="F7" s="35" t="n"/>
      <c r="G7" s="35" t="n"/>
      <c r="H7" s="35" t="n"/>
      <c r="I7" s="34" t="n"/>
    </row>
    <row r="8" ht="21.75" customHeight="1" s="23">
      <c r="A8" s="33" t="n">
        <v>4</v>
      </c>
      <c r="B8" s="34" t="n"/>
      <c r="C8" s="34" t="n"/>
      <c r="D8" s="35" t="n"/>
      <c r="E8" s="35" t="n"/>
      <c r="F8" s="35" t="n"/>
      <c r="G8" s="35" t="n"/>
      <c r="H8" s="35" t="n"/>
      <c r="I8" s="34" t="n"/>
    </row>
    <row r="9" ht="21.75" customHeight="1" s="23">
      <c r="A9" s="33" t="n">
        <v>5</v>
      </c>
      <c r="B9" s="34" t="n"/>
      <c r="C9" s="34" t="n"/>
      <c r="D9" s="35" t="n"/>
      <c r="E9" s="35" t="n"/>
      <c r="F9" s="35" t="n"/>
      <c r="G9" s="35" t="n"/>
      <c r="H9" s="35" t="n"/>
      <c r="I9" s="34" t="n"/>
    </row>
    <row r="10" ht="21.75" customHeight="1" s="23">
      <c r="A10" s="33" t="n">
        <v>6</v>
      </c>
      <c r="B10" s="34" t="n"/>
      <c r="C10" s="34" t="n"/>
      <c r="D10" s="35" t="n"/>
      <c r="E10" s="35" t="n"/>
      <c r="F10" s="35" t="n"/>
      <c r="G10" s="35" t="n"/>
      <c r="H10" s="35" t="n"/>
      <c r="I10" s="34" t="n"/>
    </row>
    <row r="11" ht="21.75" customHeight="1" s="23">
      <c r="A11" s="33" t="n">
        <v>7</v>
      </c>
      <c r="B11" s="34" t="n"/>
      <c r="C11" s="34" t="n"/>
      <c r="D11" s="35" t="n"/>
      <c r="E11" s="35" t="n"/>
      <c r="F11" s="35" t="n"/>
      <c r="G11" s="35" t="n"/>
      <c r="H11" s="35" t="n"/>
      <c r="I11" s="34" t="n"/>
    </row>
    <row r="12"/>
    <row r="13" ht="15" customHeight="1" s="23">
      <c r="B13" s="37" t="inlineStr">
        <is>
          <t>WEIGHTED SCORE</t>
        </is>
      </c>
      <c r="F13" s="38">
        <f>SUMPRODUCT($D5:$D11,$E5:$E11,F5:F11)</f>
        <v/>
      </c>
      <c r="G13" s="38">
        <f>SUMPRODUCT($D5:$D11,$E5:$E11,G5:G11)</f>
        <v/>
      </c>
      <c r="H13" s="38">
        <f>SUMPRODUCT($D5:$D11,$E5:$E11,H5:H11)</f>
        <v/>
      </c>
    </row>
    <row r="14" ht="15" customHeight="1" s="23">
      <c r="B14" s="39" t="inlineStr">
        <is>
          <t>TOTAL (all branches)</t>
        </is>
      </c>
      <c r="F14" s="33">
        <f>SUM(F13:H13)</f>
        <v/>
      </c>
    </row>
    <row r="15" ht="15" customHeight="1" s="23">
      <c r="B15" s="40" t="inlineStr">
        <is>
          <t>MODEL PROBABILITY %</t>
        </is>
      </c>
      <c r="F15" s="41">
        <f>IFERROR(F13/$F$14,0)</f>
        <v/>
      </c>
      <c r="G15" s="41">
        <f>IFERROR(G13/$F$14,0)</f>
        <v/>
      </c>
      <c r="H15" s="41">
        <f>IFERROR(H13/$F$14,0)</f>
        <v/>
      </c>
    </row>
    <row r="16" ht="15" customHeight="1" s="23">
      <c r="B16" s="42" t="inlineStr">
        <is>
          <t>(branch reference)</t>
        </is>
      </c>
      <c r="F16" s="43" t="inlineStr">
        <is>
          <t>Branch 1</t>
        </is>
      </c>
      <c r="G16" s="43" t="inlineStr">
        <is>
          <t>Branch 2</t>
        </is>
      </c>
      <c r="H16" s="43" t="inlineStr">
        <is>
          <t>Branch 3</t>
        </is>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1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2" min="1" max="1"/>
    <col width="40" customWidth="1" style="22" min="2" max="2"/>
    <col width="30" customWidth="1" style="22" min="3" max="3"/>
    <col width="45" customWidth="1" style="22" min="4" max="4"/>
  </cols>
  <sheetData>
    <row r="1" ht="17.35" customHeight="1" s="23">
      <c r="A1" s="30" t="inlineStr">
        <is>
          <t>HIDDEN HINGE WORKSHEET — Format B (comparative causal-chain)</t>
        </is>
      </c>
    </row>
    <row r="2" ht="15" customHeight="1" s="23">
      <c r="A2" s="31" t="inlineStr">
        <is>
          <t>This format doesn't need branch probabilities — it needs a clear causal-dependency case. Use this table to build it.</t>
        </is>
      </c>
    </row>
    <row r="3"/>
    <row r="4" ht="15" customHeight="1" s="23">
      <c r="A4" s="32" t="inlineStr">
        <is>
          <t>#</t>
        </is>
      </c>
      <c r="B4" s="32" t="inlineStr">
        <is>
          <t>Question</t>
        </is>
      </c>
      <c r="C4" s="32" t="inlineStr">
        <is>
          <t>Your Answer</t>
        </is>
      </c>
      <c r="D4" s="32" t="inlineStr">
        <is>
          <t>Source / Notes</t>
        </is>
      </c>
    </row>
    <row r="5" ht="39.75" customHeight="1" s="23">
      <c r="A5" s="33" t="n">
        <v>1</v>
      </c>
      <c r="B5" s="44" t="inlineStr">
        <is>
          <t>The famous battle/event (X) — what outcome is it popularly credited with?</t>
        </is>
      </c>
      <c r="C5" s="35" t="n"/>
      <c r="D5" s="36" t="n"/>
    </row>
    <row r="6" ht="39.75" customHeight="1" s="23">
      <c r="A6" s="33" t="n">
        <v>2</v>
      </c>
      <c r="B6" s="44" t="inlineStr">
        <is>
          <t>The lesser-known battle/event (Z) — what actually happened?</t>
        </is>
      </c>
      <c r="C6" s="35" t="n"/>
      <c r="D6" s="36" t="n"/>
    </row>
    <row r="7" ht="39.75" customHeight="1" s="23">
      <c r="A7" s="33" t="n">
        <v>3</v>
      </c>
      <c r="B7" s="44" t="inlineStr">
        <is>
          <t>What specific factors drove Z's outcome?</t>
        </is>
      </c>
      <c r="C7" s="35" t="n"/>
      <c r="D7" s="36" t="n"/>
    </row>
    <row r="8" ht="39.75" customHeight="1" s="23">
      <c r="A8" s="33" t="n">
        <v>4</v>
      </c>
      <c r="B8" s="44" t="inlineStr">
        <is>
          <t>How does Z's outcome causally feed into the conditions that produced X?</t>
        </is>
      </c>
      <c r="C8" s="35" t="n"/>
      <c r="D8" s="36" t="n"/>
    </row>
    <row r="9" ht="39.75" customHeight="1" s="23">
      <c r="A9" s="33" t="n">
        <v>5</v>
      </c>
      <c r="B9" s="44" t="inlineStr">
        <is>
          <t>If Z had gone differently, what happens to X? (never occurs / occurs differently / occurs but with different consequences)</t>
        </is>
      </c>
      <c r="C9" s="35" t="n"/>
      <c r="D9" s="36" t="n"/>
    </row>
    <row r="10" ht="39.75" customHeight="1" s="23">
      <c r="A10" s="33" t="n">
        <v>6</v>
      </c>
      <c r="B10" s="44" t="inlineStr">
        <is>
          <t>What does mainstream/popular history get wrong about X's actual significance?</t>
        </is>
      </c>
      <c r="C10" s="35" t="n"/>
      <c r="D10" s="36" t="n"/>
    </row>
    <row r="11" ht="39.75" customHeight="1" s="23">
      <c r="A11" s="33" t="n">
        <v>7</v>
      </c>
      <c r="B11" s="44" t="inlineStr">
        <is>
          <t>What do multiple national historiographies (not just one country's textbooks) say about X and Z?</t>
        </is>
      </c>
      <c r="C11" s="35" t="n"/>
      <c r="D11" s="36" t="n"/>
    </row>
    <row r="12" ht="39.75" customHeight="1" s="23">
      <c r="A12" s="33" t="n">
        <v>8</v>
      </c>
      <c r="B12" s="44" t="inlineStr">
        <is>
          <t>Historical Plausibility Score for your causal-chain claim (1-10) and why</t>
        </is>
      </c>
      <c r="C12" s="35" t="n"/>
      <c r="D12" s="36" t="n"/>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2026-07-19T00:27:43Z</dcterms:created>
  <dcterms:modified xmlns:dcterms="http://purl.org/dc/terms/" xmlns:xsi="http://www.w3.org/2001/XMLSchema-instance" xsi:type="dcterms:W3CDTF">2026-08-30T23:31:25Z</dcterms:modified>
  <cp:revision>0</cp:revision>
</cp:coreProperties>
</file>